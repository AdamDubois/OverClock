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gepdesherbrooke-my.sharepoint.com/personal/202263904_cegepsherbrooke_qc_ca/Documents/"/>
    </mc:Choice>
  </mc:AlternateContent>
  <xr:revisionPtr revIDLastSave="59" documentId="8_{D33D316E-3910-4DCD-BC6A-17F37D9FD0F0}" xr6:coauthVersionLast="47" xr6:coauthVersionMax="47" xr10:uidLastSave="{1976CC57-A17C-4744-8DD5-57AA4A291508}"/>
  <bookViews>
    <workbookView xWindow="-110" yWindow="-110" windowWidth="23260" windowHeight="14860" xr2:uid="{D4C6DD4C-331F-4CEE-BD9F-4D3A0C5B5711}"/>
  </bookViews>
  <sheets>
    <sheet name="Budget de Puissance" sheetId="1" r:id="rId1"/>
    <sheet name="Calcul thermiq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4" i="1"/>
  <c r="I3" i="1"/>
  <c r="G9" i="1"/>
  <c r="G4" i="1"/>
  <c r="G8" i="1"/>
  <c r="I8" i="1" s="1"/>
  <c r="G10" i="1"/>
  <c r="G11" i="1"/>
  <c r="G12" i="1"/>
  <c r="G13" i="1"/>
  <c r="G14" i="1"/>
  <c r="G3" i="1"/>
  <c r="K4" i="1" l="1"/>
  <c r="L6" i="1" s="1"/>
  <c r="L8" i="1" s="1"/>
  <c r="L10" i="1" s="1"/>
  <c r="L14" i="1" s="1"/>
  <c r="K2" i="1"/>
  <c r="M2" i="1" s="1"/>
  <c r="M4" i="1"/>
</calcChain>
</file>

<file path=xl/sharedStrings.xml><?xml version="1.0" encoding="utf-8"?>
<sst xmlns="http://schemas.openxmlformats.org/spreadsheetml/2006/main" count="21" uniqueCount="21">
  <si>
    <t>Composant</t>
  </si>
  <si>
    <t>Qté</t>
  </si>
  <si>
    <t>Tension (V)</t>
  </si>
  <si>
    <t>Courant unitaire (A)</t>
  </si>
  <si>
    <t xml:space="preserve"> Courant total (A)</t>
  </si>
  <si>
    <t>Notes</t>
  </si>
  <si>
    <t>Raspberry Pi 4</t>
  </si>
  <si>
    <t>3A peak</t>
  </si>
  <si>
    <t>ESP32-C3</t>
  </si>
  <si>
    <t>ESP32 consommation max</t>
  </si>
  <si>
    <t>Matrice de 256</t>
  </si>
  <si>
    <t>puissance max en blanc</t>
  </si>
  <si>
    <t>5  Strip Del 40 Del</t>
  </si>
  <si>
    <t>7 Del</t>
  </si>
  <si>
    <t>Puissance (w)</t>
  </si>
  <si>
    <t>Budget de puissance</t>
  </si>
  <si>
    <t>Puissance total @12V (W)</t>
  </si>
  <si>
    <t>Puissance total @5V (W)</t>
  </si>
  <si>
    <t>Courant total @12V (A)</t>
  </si>
  <si>
    <t>Courant total @5V (A)</t>
  </si>
  <si>
    <t>Calcul thermique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</si>
</sst>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 style="medium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theme="1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4" xfId="0" applyFill="1" applyBorder="1"/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41C5-CD52-4942-8A8C-597976341806}">
  <dimension ref="A1:O21"/>
  <sheetViews>
    <sheetView tabSelected="1" zoomScale="115" zoomScaleNormal="115" workbookViewId="0">
      <selection activeCell="N8" sqref="N8"/>
    </sheetView>
  </sheetViews>
  <sheetFormatPr baseColWidth="10" defaultRowHeight="14.5" x14ac:dyDescent="0.35"/>
  <cols>
    <col min="9" max="9" width="13.7265625" customWidth="1"/>
    <col min="10" max="10" width="22.54296875" customWidth="1"/>
  </cols>
  <sheetData>
    <row r="1" spans="1:15" ht="15.5" thickTop="1" thickBot="1" x14ac:dyDescent="0.4">
      <c r="A1" s="13" t="s">
        <v>15</v>
      </c>
      <c r="B1" s="14"/>
      <c r="C1" s="14"/>
      <c r="D1" s="14"/>
      <c r="E1" s="14"/>
      <c r="F1" s="14"/>
      <c r="G1" s="14"/>
      <c r="H1" s="14"/>
      <c r="I1" s="14"/>
      <c r="J1" s="10"/>
      <c r="K1" s="15" t="s">
        <v>16</v>
      </c>
      <c r="L1" s="16"/>
      <c r="M1" s="27" t="s">
        <v>18</v>
      </c>
      <c r="N1" s="28"/>
      <c r="O1" s="26"/>
    </row>
    <row r="2" spans="1:15" ht="15.5" thickTop="1" thickBot="1" x14ac:dyDescent="0.4">
      <c r="A2" s="13" t="s">
        <v>0</v>
      </c>
      <c r="B2" s="18"/>
      <c r="C2" s="5" t="s">
        <v>1</v>
      </c>
      <c r="D2" s="5" t="s">
        <v>2</v>
      </c>
      <c r="E2" s="13" t="s">
        <v>3</v>
      </c>
      <c r="F2" s="14"/>
      <c r="G2" s="13" t="s">
        <v>4</v>
      </c>
      <c r="H2" s="18"/>
      <c r="I2" s="6" t="s">
        <v>14</v>
      </c>
      <c r="J2" s="6" t="s">
        <v>5</v>
      </c>
      <c r="K2" s="11">
        <f>I3+I4+I8+I9</f>
        <v>153.30000000000001</v>
      </c>
      <c r="L2" s="12"/>
      <c r="M2" s="24">
        <f>K2/12</f>
        <v>12.775</v>
      </c>
      <c r="N2" s="25"/>
      <c r="O2" s="26"/>
    </row>
    <row r="3" spans="1:15" ht="15.5" thickTop="1" thickBot="1" x14ac:dyDescent="0.4">
      <c r="A3" s="19" t="s">
        <v>6</v>
      </c>
      <c r="B3" s="20"/>
      <c r="C3" s="7">
        <v>1</v>
      </c>
      <c r="D3" s="4">
        <v>5</v>
      </c>
      <c r="E3" s="11">
        <v>3</v>
      </c>
      <c r="F3" s="12"/>
      <c r="G3" s="11">
        <f>E3*C3</f>
        <v>3</v>
      </c>
      <c r="H3" s="12"/>
      <c r="I3" s="4">
        <f>D3*G3</f>
        <v>15</v>
      </c>
      <c r="J3" s="4" t="s">
        <v>7</v>
      </c>
      <c r="K3" s="29" t="s">
        <v>17</v>
      </c>
      <c r="L3" s="30"/>
      <c r="M3" s="31" t="s">
        <v>19</v>
      </c>
      <c r="N3" s="31"/>
    </row>
    <row r="4" spans="1:15" ht="15.5" thickTop="1" thickBot="1" x14ac:dyDescent="0.4">
      <c r="A4" s="19" t="s">
        <v>8</v>
      </c>
      <c r="B4" s="20"/>
      <c r="C4" s="4">
        <v>3</v>
      </c>
      <c r="D4" s="1">
        <v>5</v>
      </c>
      <c r="E4" s="11">
        <v>0.1</v>
      </c>
      <c r="F4" s="12"/>
      <c r="G4" s="11">
        <f t="shared" ref="G4:G14" si="0">E4*C4</f>
        <v>0.30000000000000004</v>
      </c>
      <c r="H4" s="12"/>
      <c r="I4" s="4">
        <f>D4*G4</f>
        <v>1.5000000000000002</v>
      </c>
      <c r="J4" s="3" t="s">
        <v>9</v>
      </c>
      <c r="K4" s="22">
        <f>I3+I4+I8</f>
        <v>93.300000000000011</v>
      </c>
      <c r="L4" s="21"/>
      <c r="M4" s="21">
        <f>K4/5</f>
        <v>18.660000000000004</v>
      </c>
      <c r="N4" s="21"/>
    </row>
    <row r="5" spans="1:15" ht="15.5" thickTop="1" thickBot="1" x14ac:dyDescent="0.4">
      <c r="A5" s="11"/>
      <c r="B5" s="12"/>
      <c r="C5" s="4"/>
      <c r="D5" s="8"/>
      <c r="E5" s="17"/>
      <c r="F5" s="17"/>
      <c r="G5" s="11"/>
      <c r="H5" s="12"/>
      <c r="I5" s="9"/>
      <c r="J5" s="3"/>
    </row>
    <row r="6" spans="1:15" ht="15.5" thickTop="1" thickBot="1" x14ac:dyDescent="0.4">
      <c r="A6" s="17"/>
      <c r="B6" s="17"/>
      <c r="C6" s="4"/>
      <c r="D6" s="4"/>
      <c r="E6" s="17"/>
      <c r="F6" s="17"/>
      <c r="G6" s="11"/>
      <c r="H6" s="12"/>
      <c r="I6" s="9"/>
      <c r="J6" s="3"/>
      <c r="L6">
        <f>K4/0.94</f>
        <v>99.255319148936195</v>
      </c>
    </row>
    <row r="7" spans="1:15" ht="15.5" thickTop="1" thickBot="1" x14ac:dyDescent="0.4">
      <c r="A7" s="17" t="s">
        <v>13</v>
      </c>
      <c r="B7" s="17"/>
      <c r="C7" s="4">
        <v>7</v>
      </c>
      <c r="D7" s="4">
        <v>5</v>
      </c>
      <c r="E7" s="17"/>
      <c r="F7" s="17"/>
      <c r="G7" s="11"/>
      <c r="H7" s="12"/>
      <c r="I7" s="9"/>
      <c r="J7" s="3"/>
    </row>
    <row r="8" spans="1:15" ht="15.5" thickTop="1" thickBot="1" x14ac:dyDescent="0.4">
      <c r="A8" s="19" t="s">
        <v>10</v>
      </c>
      <c r="B8" s="20"/>
      <c r="C8" s="4">
        <v>256</v>
      </c>
      <c r="D8" s="4">
        <v>12</v>
      </c>
      <c r="E8" s="17">
        <v>2.5000000000000001E-2</v>
      </c>
      <c r="F8" s="17"/>
      <c r="G8" s="11">
        <f t="shared" si="0"/>
        <v>6.4</v>
      </c>
      <c r="H8" s="12"/>
      <c r="I8" s="4">
        <f>D8*G8</f>
        <v>76.800000000000011</v>
      </c>
      <c r="J8" s="4" t="s">
        <v>11</v>
      </c>
      <c r="L8">
        <f>L6-K4</f>
        <v>5.9553191489361836</v>
      </c>
    </row>
    <row r="9" spans="1:15" ht="15.5" thickTop="1" thickBot="1" x14ac:dyDescent="0.4">
      <c r="A9" s="19" t="s">
        <v>12</v>
      </c>
      <c r="B9" s="20"/>
      <c r="C9" s="4">
        <v>5</v>
      </c>
      <c r="D9" s="4">
        <v>12</v>
      </c>
      <c r="E9" s="17">
        <v>2.5000000000000001E-2</v>
      </c>
      <c r="F9" s="17"/>
      <c r="G9" s="11">
        <f>C9*(40*E9)</f>
        <v>5</v>
      </c>
      <c r="H9" s="12"/>
      <c r="I9" s="4">
        <f>D9*G9</f>
        <v>60</v>
      </c>
      <c r="J9" s="3"/>
    </row>
    <row r="10" spans="1:15" ht="15.5" thickTop="1" thickBot="1" x14ac:dyDescent="0.4">
      <c r="A10" s="17"/>
      <c r="B10" s="17"/>
      <c r="C10" s="3"/>
      <c r="D10" s="3"/>
      <c r="E10" s="17"/>
      <c r="F10" s="17"/>
      <c r="G10" s="11">
        <f t="shared" si="0"/>
        <v>0</v>
      </c>
      <c r="H10" s="12"/>
      <c r="I10" s="3"/>
      <c r="J10" s="3"/>
      <c r="L10">
        <f>L8/3</f>
        <v>1.9851063829787279</v>
      </c>
    </row>
    <row r="11" spans="1:15" ht="15.5" thickTop="1" thickBot="1" x14ac:dyDescent="0.4">
      <c r="A11" s="11"/>
      <c r="B11" s="12"/>
      <c r="C11" s="3"/>
      <c r="D11" s="3"/>
      <c r="E11" s="17"/>
      <c r="F11" s="17"/>
      <c r="G11" s="11">
        <f t="shared" si="0"/>
        <v>0</v>
      </c>
      <c r="H11" s="12"/>
      <c r="I11" s="3"/>
      <c r="J11" s="3"/>
    </row>
    <row r="12" spans="1:15" ht="15.5" thickTop="1" thickBot="1" x14ac:dyDescent="0.4">
      <c r="A12" s="19"/>
      <c r="B12" s="20"/>
      <c r="C12" s="3"/>
      <c r="D12" s="3"/>
      <c r="E12" s="17"/>
      <c r="F12" s="17"/>
      <c r="G12" s="11">
        <f t="shared" si="0"/>
        <v>0</v>
      </c>
      <c r="H12" s="12"/>
      <c r="I12" s="3"/>
      <c r="J12" s="3"/>
    </row>
    <row r="13" spans="1:15" ht="15.5" thickTop="1" thickBot="1" x14ac:dyDescent="0.4">
      <c r="A13" s="11"/>
      <c r="B13" s="12"/>
      <c r="C13" s="3"/>
      <c r="D13" s="3"/>
      <c r="E13" s="17"/>
      <c r="F13" s="17"/>
      <c r="G13" s="11">
        <f t="shared" si="0"/>
        <v>0</v>
      </c>
      <c r="H13" s="12"/>
      <c r="I13" s="3"/>
      <c r="J13" s="3"/>
    </row>
    <row r="14" spans="1:15" ht="15.5" thickTop="1" thickBot="1" x14ac:dyDescent="0.4">
      <c r="A14" s="19"/>
      <c r="B14" s="20"/>
      <c r="C14" s="3"/>
      <c r="D14" s="3"/>
      <c r="E14" s="11"/>
      <c r="F14" s="12"/>
      <c r="G14" s="11">
        <f t="shared" si="0"/>
        <v>0</v>
      </c>
      <c r="H14" s="12"/>
      <c r="I14" s="3"/>
      <c r="J14" s="3"/>
      <c r="L14">
        <f>131.1*L10 + 25</f>
        <v>285.2474468085112</v>
      </c>
    </row>
    <row r="15" spans="1:15" ht="15" thickTop="1" x14ac:dyDescent="0.35">
      <c r="A15" s="2"/>
      <c r="B15" s="2"/>
    </row>
    <row r="21" spans="3:3" x14ac:dyDescent="0.35">
      <c r="C21" s="1"/>
    </row>
  </sheetData>
  <mergeCells count="48">
    <mergeCell ref="M1:N1"/>
    <mergeCell ref="M2:N2"/>
    <mergeCell ref="K3:L3"/>
    <mergeCell ref="K4:L4"/>
    <mergeCell ref="M3:N3"/>
    <mergeCell ref="M4:N4"/>
    <mergeCell ref="A2:B2"/>
    <mergeCell ref="A3:B3"/>
    <mergeCell ref="A4:B4"/>
    <mergeCell ref="A5:B5"/>
    <mergeCell ref="A6:B6"/>
    <mergeCell ref="E5:F5"/>
    <mergeCell ref="E6:F6"/>
    <mergeCell ref="E7:F7"/>
    <mergeCell ref="A14:B14"/>
    <mergeCell ref="A8:B8"/>
    <mergeCell ref="A9:B9"/>
    <mergeCell ref="A10:B10"/>
    <mergeCell ref="A11:B11"/>
    <mergeCell ref="A12:B12"/>
    <mergeCell ref="A13:B13"/>
    <mergeCell ref="A7:B7"/>
    <mergeCell ref="E2:F2"/>
    <mergeCell ref="G2:H2"/>
    <mergeCell ref="E3:F3"/>
    <mergeCell ref="G3:H3"/>
    <mergeCell ref="E4:F4"/>
    <mergeCell ref="E9:F9"/>
    <mergeCell ref="E10:F10"/>
    <mergeCell ref="E11:F11"/>
    <mergeCell ref="E12:F12"/>
    <mergeCell ref="E13:F13"/>
    <mergeCell ref="G13:H13"/>
    <mergeCell ref="G14:H14"/>
    <mergeCell ref="A1:I1"/>
    <mergeCell ref="K1:L1"/>
    <mergeCell ref="K2:L2"/>
    <mergeCell ref="E14:F14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E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AF46-E1C8-4EE6-852C-9BACBEBF7710}">
  <dimension ref="A1:B2"/>
  <sheetViews>
    <sheetView workbookViewId="0">
      <selection activeCell="A2" sqref="A2:B2"/>
    </sheetView>
  </sheetViews>
  <sheetFormatPr baseColWidth="10" defaultRowHeight="14.5" x14ac:dyDescent="0.35"/>
  <sheetData>
    <row r="1" spans="1:2" x14ac:dyDescent="0.35">
      <c r="A1" s="23" t="s">
        <v>20</v>
      </c>
      <c r="B1" s="23"/>
    </row>
    <row r="2" spans="1:2" x14ac:dyDescent="0.35">
      <c r="A2" s="21"/>
      <c r="B2" s="21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Budget de Puissance</vt:lpstr>
      <vt:lpstr>Calcul thermique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Breault, Jérémy</dc:creator>
  <cp:lastModifiedBy>Breault, Jérémy</cp:lastModifiedBy>
  <dcterms:created xsi:type="dcterms:W3CDTF">2026-02-11T15:11:34Z</dcterms:created>
  <dcterms:modified xsi:type="dcterms:W3CDTF">2026-02-12T14:29:12Z</dcterms:modified>
</cp:coreProperties>
</file>